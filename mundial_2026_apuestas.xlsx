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e95bc314a61fb9/Jupyter/Proyectos/Resultados Mundial 2026/"/>
    </mc:Choice>
  </mc:AlternateContent>
  <xr:revisionPtr revIDLastSave="131" documentId="11_71424545E5A34E169FA4A7C6E2A60B7FBE6F0FF7" xr6:coauthVersionLast="47" xr6:coauthVersionMax="47" xr10:uidLastSave="{0036DAEC-E792-4BFC-9289-A46DAFEAF869}"/>
  <bookViews>
    <workbookView xWindow="-120" yWindow="-120" windowWidth="29040" windowHeight="15720" tabRatio="500" xr2:uid="{00000000-000D-0000-FFFF-FFFF00000000}"/>
  </bookViews>
  <sheets>
    <sheet name="Apuestas" sheetId="1" r:id="rId1"/>
    <sheet name="Resultados Oficiales" sheetId="2" r:id="rId2"/>
    <sheet name="Tabla de Puntajes" sheetId="3" r:id="rId3"/>
    <sheet name="Resumen Financier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4" i="1"/>
  <c r="B5" i="4"/>
  <c r="B3" i="4"/>
  <c r="B2" i="4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K4" i="1" l="1" a="1"/>
  <c r="G10" i="3"/>
  <c r="G13" i="3"/>
  <c r="G12" i="3"/>
  <c r="G11" i="3"/>
  <c r="G9" i="3"/>
  <c r="G8" i="3"/>
  <c r="G7" i="3"/>
  <c r="G6" i="3"/>
  <c r="G5" i="3"/>
  <c r="G4" i="3"/>
  <c r="B7" i="4"/>
  <c r="K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<sst xmlns="http://schemas.openxmlformats.org/spreadsheetml/2006/main" count="135" uniqueCount="66">
  <si>
    <t>⚽  MUNDIAL 2026 — CONTROL DE APUESTAS</t>
  </si>
  <si>
    <t>Apuesta: $100.000 por participante  |  Premio 1°: Pozo total − $100.000  |  Premio 2°: $100.000</t>
  </si>
  <si>
    <t>Participante</t>
  </si>
  <si>
    <t>1° Lugar</t>
  </si>
  <si>
    <t>2° Lugar</t>
  </si>
  <si>
    <t>3° Lugar</t>
  </si>
  <si>
    <t>4° Lugar</t>
  </si>
  <si>
    <t>Pagó</t>
  </si>
  <si>
    <t>Observaciones</t>
  </si>
  <si>
    <t>Carlos</t>
  </si>
  <si>
    <t>Argentina</t>
  </si>
  <si>
    <t>Francia</t>
  </si>
  <si>
    <t>Brasil</t>
  </si>
  <si>
    <t>España</t>
  </si>
  <si>
    <t>✓ Sí</t>
  </si>
  <si>
    <t>Alemania</t>
  </si>
  <si>
    <t>✗ No</t>
  </si>
  <si>
    <t>Pendiente pago</t>
  </si>
  <si>
    <t>⚽  RESULTADOS OFICIALES — MUNDIAL 2026</t>
  </si>
  <si>
    <t>Completar una vez finalizado el torneo</t>
  </si>
  <si>
    <t>Posición</t>
  </si>
  <si>
    <t>Selección</t>
  </si>
  <si>
    <t>Puntos a repartir</t>
  </si>
  <si>
    <t>🥇  1° Lugar</t>
  </si>
  <si>
    <t>🥈  2° Lugar</t>
  </si>
  <si>
    <t>🥉  3° Lugar</t>
  </si>
  <si>
    <t xml:space="preserve">    4° Lugar</t>
  </si>
  <si>
    <t>⚽  TABLA DE PUNTAJES — MUNDIAL 2026</t>
  </si>
  <si>
    <t>Los puntajes se calculan automáticamente al completar 'Resultados Oficiales'</t>
  </si>
  <si>
    <t>#</t>
  </si>
  <si>
    <t>Pts. 1°</t>
  </si>
  <si>
    <t>Pts. 2°</t>
  </si>
  <si>
    <t>Pts. 3°</t>
  </si>
  <si>
    <t>Pts. 4°</t>
  </si>
  <si>
    <t>TOTAL</t>
  </si>
  <si>
    <t>Premio</t>
  </si>
  <si>
    <t>💰  RESUMEN FINANCIERO</t>
  </si>
  <si>
    <t>Participantes confirmados (pagaron)</t>
  </si>
  <si>
    <t>Total pozo recaudado ($)</t>
  </si>
  <si>
    <t>Premio 1° lugar ($)</t>
  </si>
  <si>
    <t>Pozo total − $100.000</t>
  </si>
  <si>
    <t>Premio 2° lugar ($)</t>
  </si>
  <si>
    <t>$100.000 fijo</t>
  </si>
  <si>
    <t>Total premios ($)</t>
  </si>
  <si>
    <t>Cristian</t>
  </si>
  <si>
    <t>Cristian Jr.</t>
  </si>
  <si>
    <t>Dany</t>
  </si>
  <si>
    <t>Dino</t>
  </si>
  <si>
    <t>Don Segundo</t>
  </si>
  <si>
    <t>Fabian</t>
  </si>
  <si>
    <t>JM</t>
  </si>
  <si>
    <t>Juan Reveco</t>
  </si>
  <si>
    <t>Kote</t>
  </si>
  <si>
    <t>Manuel</t>
  </si>
  <si>
    <t>Marcelo</t>
  </si>
  <si>
    <t>Pablo</t>
  </si>
  <si>
    <t>Robinson</t>
  </si>
  <si>
    <t>Victor Candia</t>
  </si>
  <si>
    <t>Inglaterra</t>
  </si>
  <si>
    <t>Portugal</t>
  </si>
  <si>
    <t>Holanda</t>
  </si>
  <si>
    <t>Fecha Pago</t>
  </si>
  <si>
    <t>Tipo Pago</t>
  </si>
  <si>
    <t>Transferencia</t>
  </si>
  <si>
    <t>Efectivo</t>
  </si>
  <si>
    <t>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</si>
</sst>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CCCCCC"/>
      <name val="Arial"/>
      <charset val="1"/>
    </font>
    <font>
      <b/>
      <sz val="10"/>
      <color rgb="FFFFFFFF"/>
      <name val="Arial"/>
      <charset val="1"/>
    </font>
    <font>
      <b/>
      <sz val="10"/>
      <color rgb="FF1A1A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C853"/>
      <name val="Arial"/>
      <charset val="1"/>
    </font>
    <font>
      <b/>
      <sz val="10"/>
      <color rgb="FFD32F2F"/>
      <name val="Arial"/>
      <charset val="1"/>
    </font>
    <font>
      <sz val="10"/>
      <color rgb="FFE65100"/>
      <name val="Arial"/>
      <charset val="1"/>
    </font>
    <font>
      <b/>
      <sz val="14"/>
      <color rgb="FFFFFFFF"/>
      <name val="Arial"/>
      <charset val="1"/>
    </font>
    <font>
      <sz val="10"/>
      <color rgb="FFAAAAAA"/>
      <name val="Arial"/>
      <charset val="1"/>
    </font>
    <font>
      <b/>
      <sz val="11"/>
      <color rgb="FFFFFFFF"/>
      <name val="Arial"/>
      <charset val="1"/>
    </font>
    <font>
      <b/>
      <sz val="11"/>
      <color rgb="FF1A1A00"/>
      <name val="Arial"/>
      <charset val="1"/>
    </font>
    <font>
      <b/>
      <sz val="11"/>
      <color rgb="FF1A1A2E"/>
      <name val="Arial"/>
      <charset val="1"/>
    </font>
    <font>
      <b/>
      <sz val="11"/>
      <color rgb="FF000000"/>
      <name val="Arial"/>
      <charset val="1"/>
    </font>
    <font>
      <b/>
      <sz val="10"/>
      <color rgb="FFAAAAAA"/>
      <name val="Arial"/>
      <charset val="1"/>
    </font>
    <font>
      <b/>
      <sz val="10"/>
      <color rgb="FF1A1A2E"/>
      <name val="Arial"/>
      <charset val="1"/>
    </font>
    <font>
      <b/>
      <sz val="10"/>
      <color rgb="FF00695C"/>
      <name val="Arial"/>
      <charset val="1"/>
    </font>
    <font>
      <sz val="9"/>
      <color rgb="FF757575"/>
      <name val="Arial"/>
      <charset val="1"/>
    </font>
    <font>
      <sz val="10"/>
      <color rgb="FF1A1A2E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FF9900"/>
      </patternFill>
    </fill>
    <fill>
      <patternFill patternType="solid">
        <fgColor rgb="FF8D6E63"/>
        <bgColor rgb="FF757575"/>
      </patternFill>
    </fill>
    <fill>
      <patternFill patternType="solid">
        <fgColor rgb="FFF0F4FF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FFFFFF"/>
        <bgColor rgb="FFFFFDE7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FFDE7"/>
        <bgColor rgb="FFFFF3E0"/>
      </patternFill>
    </fill>
    <fill>
      <patternFill patternType="solid">
        <fgColor rgb="FFFFF9C4"/>
        <bgColor rgb="FFFFF3E0"/>
      </patternFill>
    </fill>
    <fill>
      <patternFill patternType="solid">
        <fgColor rgb="FFF5F5F5"/>
        <bgColor rgb="FFF0F4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164" fontId="18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/>
    </xf>
    <xf numFmtId="14" fontId="6" fillId="8" borderId="1" xfId="0" applyNumberFormat="1" applyFont="1" applyFill="1" applyBorder="1" applyAlignment="1">
      <alignment horizontal="center" vertical="center"/>
    </xf>
    <xf numFmtId="14" fontId="6" fillId="10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C0C0C0"/>
      <rgbColor rgb="FF757575"/>
      <rgbColor rgb="FF9999FF"/>
      <rgbColor rgb="FF993366"/>
      <rgbColor rgb="FFFFF9C4"/>
      <rgbColor rgb="FFE8F5E9"/>
      <rgbColor rgb="FF660066"/>
      <rgbColor rgb="FFCD7F32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5F5F5"/>
      <rgbColor rgb="FFFFF3E0"/>
      <rgbColor rgb="FFFFFDE7"/>
      <rgbColor rgb="FFFF99CC"/>
      <rgbColor rgb="FFCC99FF"/>
      <rgbColor rgb="FFFFEBEE"/>
      <rgbColor rgb="FF3366FF"/>
      <rgbColor rgb="FF33CCCC"/>
      <rgbColor rgb="FF99CC00"/>
      <rgbColor rgb="FFFFD700"/>
      <rgbColor rgb="FFFF9900"/>
      <rgbColor rgb="FFE65100"/>
      <rgbColor rgb="FF8D6E63"/>
      <rgbColor rgb="FFAAAAAA"/>
      <rgbColor rgb="FF003366"/>
      <rgbColor rgb="FF00C853"/>
      <rgbColor rgb="FF1A1A2E"/>
      <rgbColor rgb="FF1A1A00"/>
      <rgbColor rgb="FFD32F2F"/>
      <rgbColor rgb="FF993366"/>
      <rgbColor rgb="FF333399"/>
      <rgbColor rgb="FF1621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tabSelected="1" zoomScaleNormal="100" workbookViewId="0">
      <pane ySplit="3" topLeftCell="A4" activePane="bottomLeft" state="frozen"/>
      <selection pane="bottomLeft" activeCell="B15" sqref="B15"/>
    </sheetView>
  </sheetViews>
  <sheetFormatPr baseColWidth="10" defaultColWidth="8.7109375" defaultRowHeight="15" x14ac:dyDescent="0.25"/>
  <cols>
    <col min="1" max="1" width="20" customWidth="1"/>
    <col min="2" max="5" width="22" customWidth="1"/>
    <col min="6" max="6" width="10" customWidth="1"/>
    <col min="7" max="7" width="11.85546875" bestFit="1" customWidth="1"/>
    <col min="8" max="8" width="12" bestFit="1" customWidth="1"/>
    <col min="9" max="9" width="28" customWidth="1"/>
    <col min="11" max="11" width="11.85546875" bestFit="1" customWidth="1"/>
  </cols>
  <sheetData>
    <row r="1" spans="1:11" ht="36" customHeight="1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</row>
    <row r="2" spans="1:11" ht="21.75" customHeight="1" x14ac:dyDescent="0.25">
      <c r="A2" s="50" t="s">
        <v>1</v>
      </c>
      <c r="B2" s="50"/>
      <c r="C2" s="50"/>
      <c r="D2" s="50"/>
      <c r="E2" s="50"/>
      <c r="F2" s="50"/>
      <c r="G2" s="50"/>
      <c r="H2" s="50"/>
      <c r="I2" s="50"/>
    </row>
    <row r="3" spans="1:11" ht="25.5" customHeight="1" x14ac:dyDescent="0.2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1" t="s">
        <v>7</v>
      </c>
      <c r="G3" s="1" t="s">
        <v>61</v>
      </c>
      <c r="H3" s="1" t="s">
        <v>62</v>
      </c>
      <c r="I3" s="1" t="s">
        <v>8</v>
      </c>
      <c r="K3" t="b">
        <f>IF(COUNTIF(J4:J18,"&lt;&gt;"&amp;" ")=COUNTIF(_xlfn.ANCHORARRAY(K4),"&lt;&gt;"&amp;" "),TRUE,FALSE)</f>
        <v>1</v>
      </c>
    </row>
    <row r="4" spans="1:11" ht="21.75" customHeight="1" x14ac:dyDescent="0.25">
      <c r="A4" s="6" t="s">
        <v>9</v>
      </c>
      <c r="B4" s="7" t="s">
        <v>11</v>
      </c>
      <c r="C4" s="7" t="s">
        <v>12</v>
      </c>
      <c r="D4" s="7" t="s">
        <v>13</v>
      </c>
      <c r="E4" s="7" t="s">
        <v>58</v>
      </c>
      <c r="F4" s="8" t="s">
        <v>14</v>
      </c>
      <c r="G4" s="47">
        <v>46181</v>
      </c>
      <c r="H4" s="7" t="s">
        <v>63</v>
      </c>
      <c r="I4" s="6"/>
      <c r="J4" t="str">
        <f>IF(F4="✗ No"," ",B4&amp;"-"&amp;C4&amp;"-"&amp;D4&amp;"-"&amp;E4)</f>
        <v>Francia-Brasil-España-Inglaterra</v>
      </c>
      <c r="K4" t="str" cm="1">
        <f t="array" ref="K4:K16">_xlfn.UNIQUE(J4:J18)</f>
        <v>Francia-Brasil-España-Inglaterra</v>
      </c>
    </row>
    <row r="5" spans="1:11" ht="21.75" customHeight="1" x14ac:dyDescent="0.25">
      <c r="A5" s="9" t="s">
        <v>44</v>
      </c>
      <c r="B5" s="10" t="s">
        <v>11</v>
      </c>
      <c r="C5" s="10" t="s">
        <v>10</v>
      </c>
      <c r="D5" s="10" t="s">
        <v>13</v>
      </c>
      <c r="E5" s="10" t="s">
        <v>58</v>
      </c>
      <c r="F5" s="8" t="s">
        <v>14</v>
      </c>
      <c r="G5" s="48">
        <v>46175</v>
      </c>
      <c r="H5" s="10" t="s">
        <v>63</v>
      </c>
      <c r="I5" s="9"/>
      <c r="J5" t="str">
        <f t="shared" ref="J5:J18" si="0">IF(F5="✗ No"," ",B5&amp;"-"&amp;C5&amp;"-"&amp;D5&amp;"-"&amp;E5)</f>
        <v>Francia-Argentina-España-Inglaterra</v>
      </c>
      <c r="K5" t="str">
        <v>Francia-Argentina-España-Inglaterra</v>
      </c>
    </row>
    <row r="6" spans="1:11" ht="21.75" customHeight="1" x14ac:dyDescent="0.25">
      <c r="A6" s="6" t="s">
        <v>45</v>
      </c>
      <c r="B6" s="7" t="s">
        <v>59</v>
      </c>
      <c r="C6" s="7" t="s">
        <v>11</v>
      </c>
      <c r="D6" s="7" t="s">
        <v>13</v>
      </c>
      <c r="E6" s="7" t="s">
        <v>12</v>
      </c>
      <c r="F6" s="8" t="s">
        <v>14</v>
      </c>
      <c r="G6" s="47">
        <v>46174</v>
      </c>
      <c r="H6" s="7" t="s">
        <v>63</v>
      </c>
      <c r="I6" s="6"/>
      <c r="J6" t="str">
        <f t="shared" si="0"/>
        <v>Portugal-Francia-España-Brasil</v>
      </c>
      <c r="K6" t="str">
        <v>Portugal-Francia-España-Brasil</v>
      </c>
    </row>
    <row r="7" spans="1:11" ht="21.75" customHeight="1" x14ac:dyDescent="0.25">
      <c r="A7" s="9" t="s">
        <v>46</v>
      </c>
      <c r="B7" s="10" t="s">
        <v>13</v>
      </c>
      <c r="C7" s="10" t="s">
        <v>11</v>
      </c>
      <c r="D7" s="10" t="s">
        <v>10</v>
      </c>
      <c r="E7" s="10" t="s">
        <v>58</v>
      </c>
      <c r="F7" s="8" t="s">
        <v>14</v>
      </c>
      <c r="G7" s="48">
        <v>46174</v>
      </c>
      <c r="H7" s="10" t="s">
        <v>63</v>
      </c>
      <c r="I7" s="9"/>
      <c r="J7" t="str">
        <f t="shared" si="0"/>
        <v>España-Francia-Argentina-Inglaterra</v>
      </c>
      <c r="K7" t="str">
        <v>España-Francia-Argentina-Inglaterra</v>
      </c>
    </row>
    <row r="8" spans="1:11" ht="21.75" customHeight="1" x14ac:dyDescent="0.25">
      <c r="A8" s="6" t="s">
        <v>47</v>
      </c>
      <c r="B8" s="7" t="s">
        <v>15</v>
      </c>
      <c r="C8" s="7" t="s">
        <v>58</v>
      </c>
      <c r="D8" s="7" t="s">
        <v>10</v>
      </c>
      <c r="E8" s="7" t="s">
        <v>12</v>
      </c>
      <c r="F8" s="8" t="s">
        <v>14</v>
      </c>
      <c r="G8" s="47">
        <v>46176</v>
      </c>
      <c r="H8" s="7" t="s">
        <v>63</v>
      </c>
      <c r="I8" s="6"/>
      <c r="J8" t="str">
        <f t="shared" si="0"/>
        <v>Alemania-Inglaterra-Argentina-Brasil</v>
      </c>
      <c r="K8" t="str">
        <v>Alemania-Inglaterra-Argentina-Brasil</v>
      </c>
    </row>
    <row r="9" spans="1:11" ht="21.75" customHeight="1" x14ac:dyDescent="0.25">
      <c r="A9" s="9" t="s">
        <v>48</v>
      </c>
      <c r="B9" s="10" t="s">
        <v>11</v>
      </c>
      <c r="C9" s="10" t="s">
        <v>58</v>
      </c>
      <c r="D9" s="10" t="s">
        <v>13</v>
      </c>
      <c r="E9" s="10" t="s">
        <v>10</v>
      </c>
      <c r="F9" s="8" t="s">
        <v>14</v>
      </c>
      <c r="G9" s="48">
        <v>46175</v>
      </c>
      <c r="H9" s="10" t="s">
        <v>64</v>
      </c>
      <c r="I9" s="9"/>
      <c r="J9" t="str">
        <f t="shared" si="0"/>
        <v>Francia-Inglaterra-España-Argentina</v>
      </c>
      <c r="K9" t="str">
        <v>Francia-Inglaterra-España-Argentina</v>
      </c>
    </row>
    <row r="10" spans="1:11" ht="21.75" customHeight="1" x14ac:dyDescent="0.25">
      <c r="A10" s="6" t="s">
        <v>49</v>
      </c>
      <c r="B10" s="7" t="s">
        <v>11</v>
      </c>
      <c r="C10" s="7" t="s">
        <v>59</v>
      </c>
      <c r="D10" s="7" t="s">
        <v>10</v>
      </c>
      <c r="E10" s="7" t="s">
        <v>13</v>
      </c>
      <c r="F10" s="8" t="s">
        <v>14</v>
      </c>
      <c r="G10" s="47">
        <v>46178</v>
      </c>
      <c r="H10" s="7" t="s">
        <v>63</v>
      </c>
      <c r="I10" s="6"/>
      <c r="J10" t="str">
        <f t="shared" si="0"/>
        <v>Francia-Portugal-Argentina-España</v>
      </c>
      <c r="K10" t="str">
        <v>Francia-Portugal-Argentina-España</v>
      </c>
    </row>
    <row r="11" spans="1:11" ht="21.75" customHeight="1" x14ac:dyDescent="0.25">
      <c r="A11" s="9" t="s">
        <v>50</v>
      </c>
      <c r="B11" s="10" t="s">
        <v>13</v>
      </c>
      <c r="C11" s="10" t="s">
        <v>11</v>
      </c>
      <c r="D11" s="10" t="s">
        <v>58</v>
      </c>
      <c r="E11" s="10" t="s">
        <v>59</v>
      </c>
      <c r="F11" s="8" t="s">
        <v>14</v>
      </c>
      <c r="G11" s="48">
        <v>46174</v>
      </c>
      <c r="H11" s="10" t="s">
        <v>63</v>
      </c>
      <c r="I11" s="9"/>
      <c r="J11" t="str">
        <f t="shared" si="0"/>
        <v>España-Francia-Inglaterra-Portugal</v>
      </c>
      <c r="K11" t="str">
        <v>España-Francia-Inglaterra-Portugal</v>
      </c>
    </row>
    <row r="12" spans="1:11" ht="21.75" customHeight="1" x14ac:dyDescent="0.25">
      <c r="A12" s="6" t="s">
        <v>51</v>
      </c>
      <c r="B12" s="7" t="s">
        <v>13</v>
      </c>
      <c r="C12" s="7" t="s">
        <v>11</v>
      </c>
      <c r="D12" s="7" t="s">
        <v>58</v>
      </c>
      <c r="E12" s="7" t="s">
        <v>12</v>
      </c>
      <c r="F12" s="8" t="s">
        <v>14</v>
      </c>
      <c r="G12" s="47">
        <v>46176</v>
      </c>
      <c r="H12" s="7" t="s">
        <v>63</v>
      </c>
      <c r="I12" s="6"/>
      <c r="J12" t="str">
        <f t="shared" si="0"/>
        <v>España-Francia-Inglaterra-Brasil</v>
      </c>
      <c r="K12" t="str">
        <v>España-Francia-Inglaterra-Brasil</v>
      </c>
    </row>
    <row r="13" spans="1:11" ht="21.75" customHeight="1" x14ac:dyDescent="0.25">
      <c r="A13" s="9" t="s">
        <v>52</v>
      </c>
      <c r="B13" s="10"/>
      <c r="C13" s="10"/>
      <c r="D13" s="10"/>
      <c r="E13" s="10"/>
      <c r="F13" s="11" t="s">
        <v>16</v>
      </c>
      <c r="G13" s="48"/>
      <c r="H13" s="10"/>
      <c r="I13" s="12" t="s">
        <v>17</v>
      </c>
      <c r="J13" t="str">
        <f t="shared" si="0"/>
        <v xml:space="preserve"> </v>
      </c>
      <c r="K13" t="str">
        <v xml:space="preserve"> </v>
      </c>
    </row>
    <row r="14" spans="1:11" x14ac:dyDescent="0.25">
      <c r="A14" s="6" t="s">
        <v>53</v>
      </c>
      <c r="B14" s="7" t="s">
        <v>60</v>
      </c>
      <c r="C14" s="7" t="s">
        <v>58</v>
      </c>
      <c r="D14" s="7" t="s">
        <v>11</v>
      </c>
      <c r="E14" s="7" t="s">
        <v>15</v>
      </c>
      <c r="F14" s="8" t="s">
        <v>14</v>
      </c>
      <c r="G14" s="47">
        <v>46175</v>
      </c>
      <c r="H14" s="7" t="s">
        <v>63</v>
      </c>
      <c r="I14" s="6"/>
      <c r="J14" t="str">
        <f t="shared" si="0"/>
        <v>Holanda-Inglaterra-Francia-Alemania</v>
      </c>
      <c r="K14" t="str">
        <v>Holanda-Inglaterra-Francia-Alemania</v>
      </c>
    </row>
    <row r="15" spans="1:11" x14ac:dyDescent="0.25">
      <c r="A15" s="9" t="s">
        <v>54</v>
      </c>
      <c r="B15" s="10"/>
      <c r="C15" s="10"/>
      <c r="D15" s="10"/>
      <c r="E15" s="10"/>
      <c r="F15" s="11" t="s">
        <v>16</v>
      </c>
      <c r="G15" s="48"/>
      <c r="H15" s="10"/>
      <c r="I15" s="12" t="s">
        <v>17</v>
      </c>
      <c r="J15" t="str">
        <f t="shared" si="0"/>
        <v xml:space="preserve"> </v>
      </c>
      <c r="K15" t="str">
        <v>España-Brasil-Alemania-Argentina</v>
      </c>
    </row>
    <row r="16" spans="1:11" x14ac:dyDescent="0.25">
      <c r="A16" s="6" t="s">
        <v>55</v>
      </c>
      <c r="B16" s="7" t="s">
        <v>13</v>
      </c>
      <c r="C16" s="7" t="s">
        <v>12</v>
      </c>
      <c r="D16" s="7" t="s">
        <v>15</v>
      </c>
      <c r="E16" s="7" t="s">
        <v>10</v>
      </c>
      <c r="F16" s="8" t="s">
        <v>14</v>
      </c>
      <c r="G16" s="47">
        <v>46176</v>
      </c>
      <c r="H16" s="7" t="s">
        <v>64</v>
      </c>
      <c r="I16" s="6"/>
      <c r="J16" t="str">
        <f t="shared" si="0"/>
        <v>España-Brasil-Alemania-Argentina</v>
      </c>
      <c r="K16" t="str">
        <v>España-Portugal-Francia-Alemania</v>
      </c>
    </row>
    <row r="17" spans="1:10" x14ac:dyDescent="0.25">
      <c r="A17" s="9" t="s">
        <v>56</v>
      </c>
      <c r="B17" s="10" t="s">
        <v>13</v>
      </c>
      <c r="C17" s="10" t="s">
        <v>59</v>
      </c>
      <c r="D17" s="10" t="s">
        <v>11</v>
      </c>
      <c r="E17" s="10" t="s">
        <v>15</v>
      </c>
      <c r="F17" s="8" t="s">
        <v>14</v>
      </c>
      <c r="G17" s="48">
        <v>46178</v>
      </c>
      <c r="H17" s="10" t="s">
        <v>63</v>
      </c>
      <c r="I17" s="9"/>
      <c r="J17" t="str">
        <f t="shared" si="0"/>
        <v>España-Portugal-Francia-Alemania</v>
      </c>
    </row>
    <row r="18" spans="1:10" x14ac:dyDescent="0.25">
      <c r="A18" s="6" t="s">
        <v>57</v>
      </c>
      <c r="B18" s="7"/>
      <c r="C18" s="7"/>
      <c r="D18" s="7"/>
      <c r="E18" s="7"/>
      <c r="F18" s="11" t="s">
        <v>16</v>
      </c>
      <c r="G18" s="47"/>
      <c r="H18" s="7"/>
      <c r="I18" s="12" t="s">
        <v>17</v>
      </c>
      <c r="J18" t="str">
        <f t="shared" si="0"/>
        <v xml:space="preserve"> 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zoomScaleNormal="100" workbookViewId="0">
      <pane ySplit="3" topLeftCell="A4" activePane="bottomLeft" state="frozen"/>
      <selection pane="bottomLeft" activeCell="B5" sqref="B5:B7"/>
    </sheetView>
  </sheetViews>
  <sheetFormatPr baseColWidth="10" defaultColWidth="8.7109375" defaultRowHeight="15" x14ac:dyDescent="0.25"/>
  <cols>
    <col min="1" max="1" width="16" customWidth="1"/>
    <col min="2" max="2" width="26" customWidth="1"/>
    <col min="3" max="3" width="22" customWidth="1"/>
  </cols>
  <sheetData>
    <row r="1" spans="1:3" ht="33.75" customHeight="1" x14ac:dyDescent="0.25">
      <c r="A1" s="51" t="s">
        <v>18</v>
      </c>
      <c r="B1" s="51"/>
      <c r="C1" s="51"/>
    </row>
    <row r="2" spans="1:3" ht="19.5" customHeight="1" x14ac:dyDescent="0.25">
      <c r="A2" s="52" t="s">
        <v>19</v>
      </c>
      <c r="B2" s="52"/>
      <c r="C2" s="52"/>
    </row>
    <row r="3" spans="1:3" ht="25.5" customHeight="1" x14ac:dyDescent="0.25">
      <c r="A3" s="13" t="s">
        <v>20</v>
      </c>
      <c r="B3" s="13" t="s">
        <v>21</v>
      </c>
      <c r="C3" s="13" t="s">
        <v>22</v>
      </c>
    </row>
    <row r="4" spans="1:3" ht="25.5" customHeight="1" x14ac:dyDescent="0.25">
      <c r="A4" s="14" t="s">
        <v>23</v>
      </c>
      <c r="B4" s="15" t="s">
        <v>65</v>
      </c>
      <c r="C4" s="16">
        <v>4</v>
      </c>
    </row>
    <row r="5" spans="1:3" ht="25.5" customHeight="1" x14ac:dyDescent="0.25">
      <c r="A5" s="17" t="s">
        <v>24</v>
      </c>
      <c r="B5" s="15" t="s">
        <v>65</v>
      </c>
      <c r="C5" s="16">
        <v>3</v>
      </c>
    </row>
    <row r="6" spans="1:3" ht="25.5" customHeight="1" x14ac:dyDescent="0.25">
      <c r="A6" s="18" t="s">
        <v>25</v>
      </c>
      <c r="B6" s="15" t="s">
        <v>65</v>
      </c>
      <c r="C6" s="16">
        <v>2</v>
      </c>
    </row>
    <row r="7" spans="1:3" ht="25.5" customHeight="1" x14ac:dyDescent="0.25">
      <c r="A7" s="19" t="s">
        <v>26</v>
      </c>
      <c r="B7" s="15" t="s">
        <v>65</v>
      </c>
      <c r="C7" s="16">
        <v>1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Normal="100" workbookViewId="0">
      <pane ySplit="3" topLeftCell="A4" activePane="bottomLeft" state="frozen"/>
      <selection pane="bottomLeft" activeCell="C4" sqref="C4"/>
    </sheetView>
  </sheetViews>
  <sheetFormatPr baseColWidth="10" defaultColWidth="8.7109375" defaultRowHeight="15" x14ac:dyDescent="0.25"/>
  <cols>
    <col min="1" max="1" width="6" customWidth="1"/>
    <col min="2" max="2" width="20" customWidth="1"/>
    <col min="3" max="7" width="12" customWidth="1"/>
    <col min="8" max="8" width="20" customWidth="1"/>
  </cols>
  <sheetData>
    <row r="1" spans="1:8" ht="33.75" customHeight="1" x14ac:dyDescent="0.25">
      <c r="A1" s="51" t="s">
        <v>27</v>
      </c>
      <c r="B1" s="51"/>
      <c r="C1" s="51"/>
      <c r="D1" s="51"/>
      <c r="E1" s="51"/>
      <c r="F1" s="51"/>
      <c r="G1" s="51"/>
      <c r="H1" s="51"/>
    </row>
    <row r="2" spans="1:8" ht="19.5" customHeight="1" x14ac:dyDescent="0.25">
      <c r="A2" s="52" t="s">
        <v>28</v>
      </c>
      <c r="B2" s="52"/>
      <c r="C2" s="52"/>
      <c r="D2" s="52"/>
      <c r="E2" s="52"/>
      <c r="F2" s="52"/>
      <c r="G2" s="52"/>
      <c r="H2" s="52"/>
    </row>
    <row r="3" spans="1:8" ht="25.5" customHeight="1" x14ac:dyDescent="0.25">
      <c r="A3" s="1" t="s">
        <v>29</v>
      </c>
      <c r="B3" s="1" t="s">
        <v>2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</row>
    <row r="4" spans="1:8" ht="21.75" customHeight="1" x14ac:dyDescent="0.25">
      <c r="A4" s="20">
        <v>1</v>
      </c>
      <c r="B4" s="21" t="str">
        <f>Apuestas!A4</f>
        <v>Carlos</v>
      </c>
      <c r="C4" s="22">
        <f>IF(Apuestas!B4='Resultados Oficiales'!$B$4,4,0)</f>
        <v>0</v>
      </c>
      <c r="D4" s="22">
        <f>IF(Apuestas!C4='Resultados Oficiales'!$B$5,3,0)</f>
        <v>0</v>
      </c>
      <c r="E4" s="22">
        <f>IF(Apuestas!D4='Resultados Oficiales'!$B$6,2,0)</f>
        <v>0</v>
      </c>
      <c r="F4" s="22">
        <f>IF(Apuestas!E4='Resultados Oficiales'!$B$7,1,0)</f>
        <v>0</v>
      </c>
      <c r="G4" s="23">
        <f t="shared" ref="G4:G13" si="0">SUM(C4:F4)</f>
        <v>0</v>
      </c>
      <c r="H4" s="22"/>
    </row>
    <row r="5" spans="1:8" ht="21.75" customHeight="1" x14ac:dyDescent="0.25">
      <c r="A5" s="24">
        <v>2</v>
      </c>
      <c r="B5" s="25" t="str">
        <f>Apuestas!A5</f>
        <v>Cristian</v>
      </c>
      <c r="C5" s="26">
        <f>IF(Apuestas!B5='Resultados Oficiales'!$B$4,4,0)</f>
        <v>0</v>
      </c>
      <c r="D5" s="26">
        <f>IF(Apuestas!C5='Resultados Oficiales'!$B$5,3,0)</f>
        <v>0</v>
      </c>
      <c r="E5" s="26">
        <f>IF(Apuestas!D5='Resultados Oficiales'!$B$6,2,0)</f>
        <v>0</v>
      </c>
      <c r="F5" s="26">
        <f>IF(Apuestas!E5='Resultados Oficiales'!$B$7,1,0)</f>
        <v>0</v>
      </c>
      <c r="G5" s="27">
        <f t="shared" si="0"/>
        <v>0</v>
      </c>
      <c r="H5" s="26"/>
    </row>
    <row r="6" spans="1:8" ht="21.75" customHeight="1" x14ac:dyDescent="0.25">
      <c r="A6" s="28">
        <v>3</v>
      </c>
      <c r="B6" s="29" t="str">
        <f>Apuestas!A6</f>
        <v>Cristian Jr.</v>
      </c>
      <c r="C6" s="30">
        <f>IF(Apuestas!B6='Resultados Oficiales'!$B$4,4,0)</f>
        <v>0</v>
      </c>
      <c r="D6" s="30">
        <f>IF(Apuestas!C6='Resultados Oficiales'!$B$5,3,0)</f>
        <v>0</v>
      </c>
      <c r="E6" s="30">
        <f>IF(Apuestas!D6='Resultados Oficiales'!$B$6,2,0)</f>
        <v>0</v>
      </c>
      <c r="F6" s="30">
        <f>IF(Apuestas!E6='Resultados Oficiales'!$B$7,1,0)</f>
        <v>0</v>
      </c>
      <c r="G6" s="31">
        <f t="shared" si="0"/>
        <v>0</v>
      </c>
      <c r="H6" s="30"/>
    </row>
    <row r="7" spans="1:8" ht="21.75" customHeight="1" x14ac:dyDescent="0.25">
      <c r="A7" s="32">
        <v>4</v>
      </c>
      <c r="B7" s="33" t="str">
        <f>Apuestas!A7</f>
        <v>Dany</v>
      </c>
      <c r="C7" s="7">
        <f>IF(Apuestas!B7='Resultados Oficiales'!$B$4,4,0)</f>
        <v>0</v>
      </c>
      <c r="D7" s="7">
        <f>IF(Apuestas!C7='Resultados Oficiales'!$B$5,3,0)</f>
        <v>0</v>
      </c>
      <c r="E7" s="7">
        <f>IF(Apuestas!D7='Resultados Oficiales'!$B$6,2,0)</f>
        <v>0</v>
      </c>
      <c r="F7" s="7">
        <f>IF(Apuestas!E7='Resultados Oficiales'!$B$7,1,0)</f>
        <v>0</v>
      </c>
      <c r="G7" s="34">
        <f t="shared" si="0"/>
        <v>0</v>
      </c>
      <c r="H7" s="7"/>
    </row>
    <row r="8" spans="1:8" ht="21.75" customHeight="1" x14ac:dyDescent="0.25">
      <c r="A8" s="35">
        <v>5</v>
      </c>
      <c r="B8" s="36" t="str">
        <f>Apuestas!A8</f>
        <v>Dino</v>
      </c>
      <c r="C8" s="10">
        <f>IF(Apuestas!B8='Resultados Oficiales'!$B$4,4,0)</f>
        <v>0</v>
      </c>
      <c r="D8" s="10">
        <f>IF(Apuestas!C8='Resultados Oficiales'!$B$5,3,0)</f>
        <v>0</v>
      </c>
      <c r="E8" s="10">
        <f>IF(Apuestas!D8='Resultados Oficiales'!$B$6,2,0)</f>
        <v>0</v>
      </c>
      <c r="F8" s="10">
        <f>IF(Apuestas!E8='Resultados Oficiales'!$B$7,1,0)</f>
        <v>0</v>
      </c>
      <c r="G8" s="37">
        <f t="shared" si="0"/>
        <v>0</v>
      </c>
      <c r="H8" s="10"/>
    </row>
    <row r="9" spans="1:8" ht="21.75" customHeight="1" x14ac:dyDescent="0.25">
      <c r="A9" s="32">
        <v>6</v>
      </c>
      <c r="B9" s="33" t="str">
        <f>Apuestas!A9</f>
        <v>Don Segundo</v>
      </c>
      <c r="C9" s="7">
        <f>IF(Apuestas!B9='Resultados Oficiales'!$B$4,4,0)</f>
        <v>0</v>
      </c>
      <c r="D9" s="7">
        <f>IF(Apuestas!C9='Resultados Oficiales'!$B$5,3,0)</f>
        <v>0</v>
      </c>
      <c r="E9" s="7">
        <f>IF(Apuestas!D9='Resultados Oficiales'!$B$6,2,0)</f>
        <v>0</v>
      </c>
      <c r="F9" s="7">
        <f>IF(Apuestas!E9='Resultados Oficiales'!$B$7,1,0)</f>
        <v>0</v>
      </c>
      <c r="G9" s="34">
        <f t="shared" si="0"/>
        <v>0</v>
      </c>
      <c r="H9" s="7"/>
    </row>
    <row r="10" spans="1:8" ht="21.75" customHeight="1" x14ac:dyDescent="0.25">
      <c r="A10" s="35">
        <v>7</v>
      </c>
      <c r="B10" s="36" t="str">
        <f>Apuestas!A10</f>
        <v>Fabian</v>
      </c>
      <c r="C10" s="10">
        <f>IF(Apuestas!B10='Resultados Oficiales'!$B$4,4,0)</f>
        <v>0</v>
      </c>
      <c r="D10" s="10">
        <f>IF(Apuestas!C10='Resultados Oficiales'!$B$5,3,0)</f>
        <v>0</v>
      </c>
      <c r="E10" s="10">
        <f>IF(Apuestas!D10='Resultados Oficiales'!$B$6,2,0)</f>
        <v>0</v>
      </c>
      <c r="F10" s="10">
        <f>IF(Apuestas!E10='Resultados Oficiales'!$B$7,1,0)</f>
        <v>0</v>
      </c>
      <c r="G10" s="37">
        <f t="shared" si="0"/>
        <v>0</v>
      </c>
      <c r="H10" s="10"/>
    </row>
    <row r="11" spans="1:8" ht="21.75" customHeight="1" x14ac:dyDescent="0.25">
      <c r="A11" s="32">
        <v>8</v>
      </c>
      <c r="B11" s="33" t="str">
        <f>Apuestas!A11</f>
        <v>JM</v>
      </c>
      <c r="C11" s="7">
        <f>IF(Apuestas!B11='Resultados Oficiales'!$B$4,4,0)</f>
        <v>0</v>
      </c>
      <c r="D11" s="7">
        <f>IF(Apuestas!C11='Resultados Oficiales'!$B$5,3,0)</f>
        <v>0</v>
      </c>
      <c r="E11" s="7">
        <f>IF(Apuestas!D11='Resultados Oficiales'!$B$6,2,0)</f>
        <v>0</v>
      </c>
      <c r="F11" s="7">
        <f>IF(Apuestas!E11='Resultados Oficiales'!$B$7,1,0)</f>
        <v>0</v>
      </c>
      <c r="G11" s="34">
        <f t="shared" si="0"/>
        <v>0</v>
      </c>
      <c r="H11" s="7"/>
    </row>
    <row r="12" spans="1:8" ht="21.75" customHeight="1" x14ac:dyDescent="0.25">
      <c r="A12" s="35">
        <v>9</v>
      </c>
      <c r="B12" s="36" t="str">
        <f>Apuestas!A12</f>
        <v>Juan Reveco</v>
      </c>
      <c r="C12" s="10">
        <f>IF(Apuestas!B12='Resultados Oficiales'!$B$4,4,0)</f>
        <v>0</v>
      </c>
      <c r="D12" s="10">
        <f>IF(Apuestas!C12='Resultados Oficiales'!$B$5,3,0)</f>
        <v>0</v>
      </c>
      <c r="E12" s="10">
        <f>IF(Apuestas!D12='Resultados Oficiales'!$B$6,2,0)</f>
        <v>0</v>
      </c>
      <c r="F12" s="10">
        <f>IF(Apuestas!E12='Resultados Oficiales'!$B$7,1,0)</f>
        <v>0</v>
      </c>
      <c r="G12" s="37">
        <f t="shared" si="0"/>
        <v>0</v>
      </c>
      <c r="H12" s="10"/>
    </row>
    <row r="13" spans="1:8" ht="21.75" customHeight="1" x14ac:dyDescent="0.25">
      <c r="A13" s="32">
        <v>10</v>
      </c>
      <c r="B13" s="33" t="str">
        <f>Apuestas!A13</f>
        <v>Kote</v>
      </c>
      <c r="C13" s="7">
        <f>IF(Apuestas!B13='Resultados Oficiales'!$B$4,4,0)</f>
        <v>0</v>
      </c>
      <c r="D13" s="7">
        <f>IF(Apuestas!C13='Resultados Oficiales'!$B$5,3,0)</f>
        <v>0</v>
      </c>
      <c r="E13" s="7">
        <f>IF(Apuestas!D13='Resultados Oficiales'!$B$6,2,0)</f>
        <v>0</v>
      </c>
      <c r="F13" s="7">
        <f>IF(Apuestas!E13='Resultados Oficiales'!$B$7,1,0)</f>
        <v>0</v>
      </c>
      <c r="G13" s="34">
        <f t="shared" si="0"/>
        <v>0</v>
      </c>
      <c r="H13" s="7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showGridLines="0" zoomScaleNormal="100" workbookViewId="0">
      <selection activeCell="B7" sqref="B7"/>
    </sheetView>
  </sheetViews>
  <sheetFormatPr baseColWidth="10" defaultColWidth="8.7109375" defaultRowHeight="15" x14ac:dyDescent="0.25"/>
  <cols>
    <col min="1" max="1" width="32" customWidth="1"/>
    <col min="2" max="2" width="20" customWidth="1"/>
    <col min="3" max="3" width="28" customWidth="1"/>
  </cols>
  <sheetData>
    <row r="1" spans="1:3" ht="33.75" customHeight="1" x14ac:dyDescent="0.25">
      <c r="A1" s="51" t="s">
        <v>36</v>
      </c>
      <c r="B1" s="51"/>
      <c r="C1" s="51"/>
    </row>
    <row r="2" spans="1:3" ht="24" customHeight="1" x14ac:dyDescent="0.25">
      <c r="A2" s="38" t="s">
        <v>37</v>
      </c>
      <c r="B2" s="45">
        <f>COUNTIF(Apuestas!F4:F18,"✓ Sí")</f>
        <v>12</v>
      </c>
      <c r="C2" s="40"/>
    </row>
    <row r="3" spans="1:3" ht="24" customHeight="1" x14ac:dyDescent="0.25">
      <c r="A3" s="41" t="s">
        <v>38</v>
      </c>
      <c r="B3" s="42">
        <f>COUNTIF(Apuestas!F4:F18,"✓ Sí")*100000</f>
        <v>1200000</v>
      </c>
      <c r="C3" s="43"/>
    </row>
    <row r="4" spans="1:3" ht="24" customHeight="1" x14ac:dyDescent="0.25">
      <c r="A4" s="44"/>
      <c r="B4" s="45"/>
      <c r="C4" s="40"/>
    </row>
    <row r="5" spans="1:3" ht="24" customHeight="1" x14ac:dyDescent="0.25">
      <c r="A5" s="41" t="s">
        <v>39</v>
      </c>
      <c r="B5" s="42">
        <f>COUNTIF(Apuestas!F4:F18,"✓ Sí")*100000-100000</f>
        <v>1100000</v>
      </c>
      <c r="C5" s="46" t="s">
        <v>40</v>
      </c>
    </row>
    <row r="6" spans="1:3" ht="24" customHeight="1" x14ac:dyDescent="0.25">
      <c r="A6" s="38" t="s">
        <v>41</v>
      </c>
      <c r="B6" s="39">
        <v>100000</v>
      </c>
      <c r="C6" s="46" t="s">
        <v>42</v>
      </c>
    </row>
    <row r="7" spans="1:3" ht="24" customHeight="1" x14ac:dyDescent="0.25">
      <c r="A7" s="41" t="s">
        <v>43</v>
      </c>
      <c r="B7" s="42">
        <f>B5+B6</f>
        <v>1200000</v>
      </c>
      <c r="C7" s="4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Apuestas</vt:lpstr>
      <vt:lpstr>Resultados Oficiales</vt:lpstr>
      <vt:lpstr>Tabla de Puntajes</vt:lpstr>
      <vt:lpstr>Resumen Financiero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Urrutia</cp:lastModifiedBy>
  <cp:revision>0</cp:revision>
  <dcterms:created xsi:type="dcterms:W3CDTF">2026-06-04T02:31:16Z</dcterms:created>
  <dcterms:modified xsi:type="dcterms:W3CDTF">2026-06-08T17:55:15Z</dcterms:modified>
  <dc:language>en-US</dc:language>
</cp:coreProperties>
</file>