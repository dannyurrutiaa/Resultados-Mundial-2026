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134" documentId="11_71424545E5A34E169FA4A7C6E2A60B7FBE6F0FF7" xr6:coauthVersionLast="47" xr6:coauthVersionMax="47" xr10:uidLastSave="{03B030CD-F692-4528-9FC2-8DE2141971F7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4" i="1"/>
  <c r="B5" i="4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K4" i="1" l="1" a="1"/>
  <c r="G10" i="3"/>
  <c r="G13" i="3"/>
  <c r="G12" i="3"/>
  <c r="G11" i="3"/>
  <c r="G9" i="3"/>
  <c r="G8" i="3"/>
  <c r="G7" i="3"/>
  <c r="G6" i="3"/>
  <c r="G5" i="3"/>
  <c r="G4" i="3"/>
  <c r="B7" i="4"/>
  <c r="K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<sst xmlns="http://schemas.openxmlformats.org/spreadsheetml/2006/main" count="135" uniqueCount="67">
  <si>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</si>
  <si>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</si>
  <si>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</si>
  <si>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</si>
  <si>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</si>
  <si>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</si>
  <si>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</si>
  <si>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</si>
  <si>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</si>
  <si>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</si>
  <si>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</si>
  <si>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</si>
  <si>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</si>
  <si>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</si>
  <si>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</si>
  <si>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</si>
  <si>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</si>
  <si>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</si>
  <si>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</si>
  <si>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</si>
  <si>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</si>
  <si>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</si>
  <si>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</si>
  <si>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</si>
  <si>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</si>
  <si>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</si>
  <si>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</si>
  <si>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</si>
  <si>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</si>
  <si>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</si>
  <si>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</si>
  <si>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</si>
  <si>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</si>
  <si>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</si>
  <si>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</si>
  <si>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</si>
  <si>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</si>
  <si>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</si>
  <si>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</si>
  <si>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</si>
  <si>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</si>
  <si>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</si>
  <si>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</si>
  <si>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</si>
  <si>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</si>
  <si>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</si>
  <si>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</si>
  <si>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</si>
  <si>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</si>
  <si>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</si>
  <si>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</si>
  <si>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</si>
  <si>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</si>
  <si>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</si>
  <si>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</si>
  <si>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</si>
  <si>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</si>
  <si>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</si>
  <si>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</si>
  <si>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</si>
  <si>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</si>
  <si>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</si>
  <si>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</si>
  <si>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</si>
  <si>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</si>
  <si>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</si>
  <si>
    <t>Japón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</si>
</sst>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showGridLines="0" tabSelected="1" zoomScaleNormal="100" workbookViewId="0">
      <pane ySplit="3" topLeftCell="A4" activePane="bottomLeft" state="frozen"/>
      <selection pane="bottomLeft" activeCell="B10" sqref="B10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  <col min="11" max="11" width="11.85546875" bestFit="1" customWidth="1"/>
  </cols>
  <sheetData>
    <row r="1" spans="1:11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11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11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61</v>
      </c>
      <c r="H3" s="1" t="s">
        <v>62</v>
      </c>
      <c r="I3" s="1" t="s">
        <v>8</v>
      </c>
      <c r="K3" t="b">
        <f>IF(COUNTIF(J4:J18,"&lt;&gt;"&amp;" ")=COUNTIF(_xlfn.ANCHORARRAY(K4),"&lt;&gt;"&amp;" "),TRUE,FALSE)</f>
        <v>1</v>
      </c>
    </row>
    <row r="4" spans="1:11" ht="21.75" customHeight="1" x14ac:dyDescent="0.25">
      <c r="A4" s="6" t="s">
        <v>9</v>
      </c>
      <c r="B4" s="7" t="s">
        <v>11</v>
      </c>
      <c r="C4" s="7" t="s">
        <v>12</v>
      </c>
      <c r="D4" s="7" t="s">
        <v>13</v>
      </c>
      <c r="E4" s="7" t="s">
        <v>58</v>
      </c>
      <c r="F4" s="8" t="s">
        <v>14</v>
      </c>
      <c r="G4" s="47">
        <v>46181</v>
      </c>
      <c r="H4" s="7" t="s">
        <v>63</v>
      </c>
      <c r="I4" s="6"/>
      <c r="J4" t="str">
        <f>IF(F4="✗ No"," ",B4&amp;"-"&amp;C4&amp;"-"&amp;D4&amp;"-"&amp;E4)</f>
        <v>Francia-Brasil-España-Inglaterra</v>
      </c>
      <c r="K4" t="str" cm="1">
        <f t="array" ref="K4:K16">_xlfn.UNIQUE(J4:J18)</f>
        <v>Francia-Brasil-España-Inglaterra</v>
      </c>
    </row>
    <row r="5" spans="1:11" ht="21.75" customHeight="1" x14ac:dyDescent="0.25">
      <c r="A5" s="9" t="s">
        <v>44</v>
      </c>
      <c r="B5" s="10" t="s">
        <v>11</v>
      </c>
      <c r="C5" s="10" t="s">
        <v>10</v>
      </c>
      <c r="D5" s="10" t="s">
        <v>13</v>
      </c>
      <c r="E5" s="10" t="s">
        <v>58</v>
      </c>
      <c r="F5" s="8" t="s">
        <v>14</v>
      </c>
      <c r="G5" s="48">
        <v>46175</v>
      </c>
      <c r="H5" s="10" t="s">
        <v>63</v>
      </c>
      <c r="I5" s="9"/>
      <c r="J5" t="str">
        <f t="shared" ref="J5:J18" si="0">IF(F5="✗ No"," ",B5&amp;"-"&amp;C5&amp;"-"&amp;D5&amp;"-"&amp;E5)</f>
        <v>Francia-Argentina-España-Inglaterra</v>
      </c>
      <c r="K5" t="str">
        <v>Francia-Argentina-España-Inglaterra</v>
      </c>
    </row>
    <row r="6" spans="1:11" ht="21.75" customHeight="1" x14ac:dyDescent="0.25">
      <c r="A6" s="6" t="s">
        <v>45</v>
      </c>
      <c r="B6" s="7" t="s">
        <v>59</v>
      </c>
      <c r="C6" s="7" t="s">
        <v>11</v>
      </c>
      <c r="D6" s="7" t="s">
        <v>13</v>
      </c>
      <c r="E6" s="7" t="s">
        <v>12</v>
      </c>
      <c r="F6" s="8" t="s">
        <v>14</v>
      </c>
      <c r="G6" s="47">
        <v>46174</v>
      </c>
      <c r="H6" s="7" t="s">
        <v>63</v>
      </c>
      <c r="I6" s="6"/>
      <c r="J6" t="str">
        <f t="shared" si="0"/>
        <v>Portugal-Francia-España-Brasil</v>
      </c>
      <c r="K6" t="str">
        <v>Portugal-Francia-España-Brasil</v>
      </c>
    </row>
    <row r="7" spans="1:11" ht="21.75" customHeight="1" x14ac:dyDescent="0.25">
      <c r="A7" s="9" t="s">
        <v>46</v>
      </c>
      <c r="B7" s="10" t="s">
        <v>13</v>
      </c>
      <c r="C7" s="10" t="s">
        <v>11</v>
      </c>
      <c r="D7" s="10" t="s">
        <v>10</v>
      </c>
      <c r="E7" s="10" t="s">
        <v>58</v>
      </c>
      <c r="F7" s="8" t="s">
        <v>14</v>
      </c>
      <c r="G7" s="48">
        <v>46174</v>
      </c>
      <c r="H7" s="10" t="s">
        <v>63</v>
      </c>
      <c r="I7" s="9"/>
      <c r="J7" t="str">
        <f t="shared" si="0"/>
        <v>España-Francia-Argentina-Inglaterra</v>
      </c>
      <c r="K7" t="str">
        <v>España-Francia-Argentina-Inglaterra</v>
      </c>
    </row>
    <row r="8" spans="1:11" ht="21.75" customHeight="1" x14ac:dyDescent="0.25">
      <c r="A8" s="6" t="s">
        <v>47</v>
      </c>
      <c r="B8" s="7" t="s">
        <v>15</v>
      </c>
      <c r="C8" s="7" t="s">
        <v>58</v>
      </c>
      <c r="D8" s="7" t="s">
        <v>10</v>
      </c>
      <c r="E8" s="7" t="s">
        <v>12</v>
      </c>
      <c r="F8" s="8" t="s">
        <v>14</v>
      </c>
      <c r="G8" s="47">
        <v>46176</v>
      </c>
      <c r="H8" s="7" t="s">
        <v>63</v>
      </c>
      <c r="I8" s="6"/>
      <c r="J8" t="str">
        <f t="shared" si="0"/>
        <v>Alemania-Inglaterra-Argentina-Brasil</v>
      </c>
      <c r="K8" t="str">
        <v>Alemania-Inglaterra-Argentina-Brasil</v>
      </c>
    </row>
    <row r="9" spans="1:11" ht="21.75" customHeight="1" x14ac:dyDescent="0.25">
      <c r="A9" s="9" t="s">
        <v>48</v>
      </c>
      <c r="B9" s="10" t="s">
        <v>11</v>
      </c>
      <c r="C9" s="10" t="s">
        <v>13</v>
      </c>
      <c r="D9" s="10" t="s">
        <v>66</v>
      </c>
      <c r="E9" s="10" t="s">
        <v>58</v>
      </c>
      <c r="F9" s="8" t="s">
        <v>14</v>
      </c>
      <c r="G9" s="48">
        <v>46175</v>
      </c>
      <c r="H9" s="10" t="s">
        <v>64</v>
      </c>
      <c r="I9" s="9"/>
      <c r="J9" t="str">
        <f t="shared" si="0"/>
        <v>Francia-España-Japón-Inglaterra</v>
      </c>
      <c r="K9" t="str">
        <v>Francia-España-Japón-Inglaterra</v>
      </c>
    </row>
    <row r="10" spans="1:11" ht="21.75" customHeight="1" x14ac:dyDescent="0.25">
      <c r="A10" s="6" t="s">
        <v>49</v>
      </c>
      <c r="B10" s="7" t="s">
        <v>11</v>
      </c>
      <c r="C10" s="7" t="s">
        <v>59</v>
      </c>
      <c r="D10" s="7" t="s">
        <v>10</v>
      </c>
      <c r="E10" s="7" t="s">
        <v>13</v>
      </c>
      <c r="F10" s="8" t="s">
        <v>14</v>
      </c>
      <c r="G10" s="47">
        <v>46178</v>
      </c>
      <c r="H10" s="7" t="s">
        <v>63</v>
      </c>
      <c r="I10" s="6"/>
      <c r="J10" t="str">
        <f t="shared" si="0"/>
        <v>Francia-Portugal-Argentina-España</v>
      </c>
      <c r="K10" t="str">
        <v>Francia-Portugal-Argentina-España</v>
      </c>
    </row>
    <row r="11" spans="1:11" ht="21.75" customHeight="1" x14ac:dyDescent="0.25">
      <c r="A11" s="9" t="s">
        <v>50</v>
      </c>
      <c r="B11" s="10" t="s">
        <v>13</v>
      </c>
      <c r="C11" s="10" t="s">
        <v>11</v>
      </c>
      <c r="D11" s="10" t="s">
        <v>58</v>
      </c>
      <c r="E11" s="10" t="s">
        <v>59</v>
      </c>
      <c r="F11" s="8" t="s">
        <v>14</v>
      </c>
      <c r="G11" s="48">
        <v>46174</v>
      </c>
      <c r="H11" s="10" t="s">
        <v>63</v>
      </c>
      <c r="I11" s="9"/>
      <c r="J11" t="str">
        <f t="shared" si="0"/>
        <v>España-Francia-Inglaterra-Portugal</v>
      </c>
      <c r="K11" t="str">
        <v>España-Francia-Inglaterra-Portugal</v>
      </c>
    </row>
    <row r="12" spans="1:11" ht="21.75" customHeight="1" x14ac:dyDescent="0.25">
      <c r="A12" s="6" t="s">
        <v>51</v>
      </c>
      <c r="B12" s="7" t="s">
        <v>13</v>
      </c>
      <c r="C12" s="7" t="s">
        <v>11</v>
      </c>
      <c r="D12" s="7" t="s">
        <v>58</v>
      </c>
      <c r="E12" s="7" t="s">
        <v>12</v>
      </c>
      <c r="F12" s="8" t="s">
        <v>14</v>
      </c>
      <c r="G12" s="47">
        <v>46176</v>
      </c>
      <c r="H12" s="7" t="s">
        <v>63</v>
      </c>
      <c r="I12" s="6"/>
      <c r="J12" t="str">
        <f t="shared" si="0"/>
        <v>España-Francia-Inglaterra-Brasil</v>
      </c>
      <c r="K12" t="str">
        <v>España-Francia-Inglaterra-Brasil</v>
      </c>
    </row>
    <row r="13" spans="1:11" ht="21.75" customHeight="1" x14ac:dyDescent="0.25">
      <c r="A13" s="9" t="s">
        <v>52</v>
      </c>
      <c r="B13" s="10"/>
      <c r="C13" s="10"/>
      <c r="D13" s="10"/>
      <c r="E13" s="10"/>
      <c r="F13" s="11" t="s">
        <v>16</v>
      </c>
      <c r="G13" s="48"/>
      <c r="H13" s="10"/>
      <c r="I13" s="12" t="s">
        <v>17</v>
      </c>
      <c r="J13" t="str">
        <f t="shared" si="0"/>
        <v xml:space="preserve"> </v>
      </c>
      <c r="K13" t="str">
        <v xml:space="preserve"> </v>
      </c>
    </row>
    <row r="14" spans="1:11" x14ac:dyDescent="0.25">
      <c r="A14" s="6" t="s">
        <v>53</v>
      </c>
      <c r="B14" s="7" t="s">
        <v>60</v>
      </c>
      <c r="C14" s="7" t="s">
        <v>58</v>
      </c>
      <c r="D14" s="7" t="s">
        <v>11</v>
      </c>
      <c r="E14" s="7" t="s">
        <v>15</v>
      </c>
      <c r="F14" s="8" t="s">
        <v>14</v>
      </c>
      <c r="G14" s="47">
        <v>46175</v>
      </c>
      <c r="H14" s="7" t="s">
        <v>63</v>
      </c>
      <c r="I14" s="6"/>
      <c r="J14" t="str">
        <f t="shared" si="0"/>
        <v>Holanda-Inglaterra-Francia-Alemania</v>
      </c>
      <c r="K14" t="str">
        <v>Holanda-Inglaterra-Francia-Alemania</v>
      </c>
    </row>
    <row r="15" spans="1:11" x14ac:dyDescent="0.25">
      <c r="A15" s="9" t="s">
        <v>54</v>
      </c>
      <c r="B15" s="10"/>
      <c r="C15" s="10"/>
      <c r="D15" s="10"/>
      <c r="E15" s="10"/>
      <c r="F15" s="11" t="s">
        <v>16</v>
      </c>
      <c r="G15" s="48"/>
      <c r="H15" s="10"/>
      <c r="I15" s="12" t="s">
        <v>17</v>
      </c>
      <c r="J15" t="str">
        <f t="shared" si="0"/>
        <v xml:space="preserve"> </v>
      </c>
      <c r="K15" t="str">
        <v>España-Brasil-Alemania-Argentina</v>
      </c>
    </row>
    <row r="16" spans="1:11" x14ac:dyDescent="0.25">
      <c r="A16" s="6" t="s">
        <v>55</v>
      </c>
      <c r="B16" s="7" t="s">
        <v>13</v>
      </c>
      <c r="C16" s="7" t="s">
        <v>12</v>
      </c>
      <c r="D16" s="7" t="s">
        <v>15</v>
      </c>
      <c r="E16" s="7" t="s">
        <v>10</v>
      </c>
      <c r="F16" s="8" t="s">
        <v>14</v>
      </c>
      <c r="G16" s="47">
        <v>46176</v>
      </c>
      <c r="H16" s="7" t="s">
        <v>64</v>
      </c>
      <c r="I16" s="6"/>
      <c r="J16" t="str">
        <f t="shared" si="0"/>
        <v>España-Brasil-Alemania-Argentina</v>
      </c>
      <c r="K16" t="str">
        <v>España-Portugal-Francia-Alemania</v>
      </c>
    </row>
    <row r="17" spans="1:10" x14ac:dyDescent="0.25">
      <c r="A17" s="9" t="s">
        <v>56</v>
      </c>
      <c r="B17" s="10" t="s">
        <v>13</v>
      </c>
      <c r="C17" s="10" t="s">
        <v>59</v>
      </c>
      <c r="D17" s="10" t="s">
        <v>11</v>
      </c>
      <c r="E17" s="10" t="s">
        <v>15</v>
      </c>
      <c r="F17" s="8" t="s">
        <v>14</v>
      </c>
      <c r="G17" s="48">
        <v>46178</v>
      </c>
      <c r="H17" s="10" t="s">
        <v>63</v>
      </c>
      <c r="I17" s="9"/>
      <c r="J17" t="str">
        <f t="shared" si="0"/>
        <v>España-Portugal-Francia-Alemania</v>
      </c>
    </row>
    <row r="18" spans="1:10" x14ac:dyDescent="0.25">
      <c r="A18" s="6" t="s">
        <v>57</v>
      </c>
      <c r="B18" s="7"/>
      <c r="C18" s="7"/>
      <c r="D18" s="7"/>
      <c r="E18" s="7"/>
      <c r="F18" s="11" t="s">
        <v>16</v>
      </c>
      <c r="G18" s="47"/>
      <c r="H18" s="7"/>
      <c r="I18" s="12" t="s">
        <v>17</v>
      </c>
      <c r="J18" t="str">
        <f t="shared" si="0"/>
        <v xml:space="preserve"> 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18</v>
      </c>
      <c r="B1" s="51"/>
      <c r="C1" s="51"/>
    </row>
    <row r="2" spans="1:3" ht="19.5" customHeight="1" x14ac:dyDescent="0.25">
      <c r="A2" s="52" t="s">
        <v>19</v>
      </c>
      <c r="B2" s="52"/>
      <c r="C2" s="52"/>
    </row>
    <row r="3" spans="1:3" ht="25.5" customHeight="1" x14ac:dyDescent="0.25">
      <c r="A3" s="13" t="s">
        <v>20</v>
      </c>
      <c r="B3" s="13" t="s">
        <v>21</v>
      </c>
      <c r="C3" s="13" t="s">
        <v>22</v>
      </c>
    </row>
    <row r="4" spans="1:3" ht="25.5" customHeight="1" x14ac:dyDescent="0.25">
      <c r="A4" s="14" t="s">
        <v>23</v>
      </c>
      <c r="B4" s="15" t="s">
        <v>65</v>
      </c>
      <c r="C4" s="16">
        <v>4</v>
      </c>
    </row>
    <row r="5" spans="1:3" ht="25.5" customHeight="1" x14ac:dyDescent="0.25">
      <c r="A5" s="17" t="s">
        <v>24</v>
      </c>
      <c r="B5" s="15" t="s">
        <v>65</v>
      </c>
      <c r="C5" s="16">
        <v>3</v>
      </c>
    </row>
    <row r="6" spans="1:3" ht="25.5" customHeight="1" x14ac:dyDescent="0.25">
      <c r="A6" s="18" t="s">
        <v>25</v>
      </c>
      <c r="B6" s="15" t="s">
        <v>65</v>
      </c>
      <c r="C6" s="16">
        <v>2</v>
      </c>
    </row>
    <row r="7" spans="1:3" ht="25.5" customHeight="1" x14ac:dyDescent="0.25">
      <c r="A7" s="19" t="s">
        <v>26</v>
      </c>
      <c r="B7" s="15" t="s">
        <v>65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27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28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29</v>
      </c>
      <c r="B3" s="1" t="s">
        <v>2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21.75" customHeight="1" x14ac:dyDescent="0.25">
      <c r="A4" s="20">
        <v>1</v>
      </c>
      <c r="B4" s="21" t="str">
        <f>Apuestas!A4</f>
        <v>Carlos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Kote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7" sqref="B7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36</v>
      </c>
      <c r="B1" s="51"/>
      <c r="C1" s="51"/>
    </row>
    <row r="2" spans="1:3" ht="24" customHeight="1" x14ac:dyDescent="0.25">
      <c r="A2" s="38" t="s">
        <v>37</v>
      </c>
      <c r="B2" s="45">
        <f>COUNTIF(Apuestas!F4:F18,"✓ Sí")</f>
        <v>12</v>
      </c>
      <c r="C2" s="40"/>
    </row>
    <row r="3" spans="1:3" ht="24" customHeight="1" x14ac:dyDescent="0.25">
      <c r="A3" s="41" t="s">
        <v>38</v>
      </c>
      <c r="B3" s="42">
        <f>COUNTIF(Apuestas!F4:F18,"✓ Sí")*100000</f>
        <v>1200000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39</v>
      </c>
      <c r="B5" s="42">
        <f>COUNTIF(Apuestas!F4:F18,"✓ Sí")*100000-100000</f>
        <v>1100000</v>
      </c>
      <c r="C5" s="46" t="s">
        <v>40</v>
      </c>
    </row>
    <row r="6" spans="1:3" ht="24" customHeight="1" x14ac:dyDescent="0.25">
      <c r="A6" s="38" t="s">
        <v>41</v>
      </c>
      <c r="B6" s="39">
        <v>100000</v>
      </c>
      <c r="C6" s="46" t="s">
        <v>42</v>
      </c>
    </row>
    <row r="7" spans="1:3" ht="24" customHeight="1" x14ac:dyDescent="0.25">
      <c r="A7" s="41" t="s">
        <v>43</v>
      </c>
      <c r="B7" s="42">
        <f>B5+B6</f>
        <v>1200000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2026-06-08T23:02:24Z</dcterms:modified>
  <dc:language>en-US</dc:language>
</cp:coreProperties>
</file>